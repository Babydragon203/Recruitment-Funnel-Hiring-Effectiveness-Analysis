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Data" sheetId="1" state="hidden" r:id="rId1"/>
    <sheet xmlns:r="http://schemas.openxmlformats.org/officeDocument/2006/relationships"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b val="1"/>
      <color rgb="001F3864"/>
      <sz val="9"/>
    </font>
    <font>
      <name val="Calibri"/>
      <b val="1"/>
      <color rgb="002E5FA3"/>
      <sz val="16"/>
    </font>
    <font>
      <name val="Calibri"/>
      <b val="1"/>
      <color rgb="0017A589"/>
      <sz val="16"/>
    </font>
    <font>
      <name val="Calibri"/>
      <b val="1"/>
      <color rgb="00C0392B"/>
      <sz val="16"/>
    </font>
    <font>
      <name val="Calibri"/>
      <b val="1"/>
      <color rgb="006C3483"/>
      <sz val="16"/>
    </font>
    <font>
      <name val="Calibri"/>
      <b val="1"/>
      <color rgb="00FFFFFF"/>
      <sz val="11"/>
    </font>
    <font>
      <name val="Calibri"/>
      <color rgb="001F3864"/>
      <sz val="10"/>
    </font>
    <font>
      <name val="Calibri"/>
      <b val="1"/>
      <color rgb="00FFFFFF"/>
      <sz val="10"/>
    </font>
    <font>
      <name val="Calibri"/>
      <b val="1"/>
      <color rgb="002E5FA3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7"/>
      </patternFill>
    </fill>
    <fill>
      <patternFill patternType="solid">
        <fgColor rgb="00EAF2FB"/>
      </patternFill>
    </fill>
  </fills>
  <borders count="3">
    <border>
      <left/>
      <right/>
      <top/>
      <bottom/>
      <diagonal/>
    </border>
    <border>
      <left style="thin">
        <color rgb="002E5FA3"/>
      </left>
      <right style="thin">
        <color rgb="002E5FA3"/>
      </right>
      <top style="thin">
        <color rgb="002E5FA3"/>
      </top>
      <bottom style="thin">
        <color rgb="002E5FA3"/>
      </bottom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center" vertical="center"/>
    </xf>
    <xf numFmtId="0" fontId="8" fillId="3" borderId="2" applyAlignment="1" pivotButton="0" quotePrefix="0" xfId="0">
      <alignment horizontal="left" vertical="center" indent="1"/>
    </xf>
    <xf numFmtId="0" fontId="10" fillId="3" borderId="2" applyAlignment="1" pivotButton="0" quotePrefix="0" xfId="0">
      <alignment horizontal="center" vertical="center"/>
    </xf>
    <xf numFmtId="0" fontId="8" fillId="4" borderId="2" applyAlignment="1" pivotButton="0" quotePrefix="0" xfId="0">
      <alignment horizontal="left" vertical="center" indent="1"/>
    </xf>
    <xf numFmtId="0" fontId="10" fillId="4" borderId="2" applyAlignment="1" pivotButton="0" quotePrefix="0" xfId="0">
      <alignment horizontal="center" vertical="center"/>
    </xf>
    <xf numFmtId="0" fontId="7" fillId="2" borderId="0" applyAlignment="1" pivotButton="0" quotePrefix="0" xfId="0">
      <alignment horizontal="left" vertical="center" indent="1"/>
    </xf>
    <xf numFmtId="0" fontId="8" fillId="3" borderId="2" applyAlignment="1" pivotButton="0" quotePrefix="0" xfId="0">
      <alignment horizontal="left" vertical="center" indent="2"/>
    </xf>
    <xf numFmtId="0" fontId="8" fillId="4" borderId="2" applyAlignment="1" pivotButton="0" quotePrefix="0" xfId="0">
      <alignment horizontal="left" vertical="center" indent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plotArea>
      <doughnutChart>
        <varyColors val="1"/>
        <ser>
          <idx val="0"/>
          <order val="0"/>
          <tx>
            <strRef>
              <f>'Data'!B1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2E5FA3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cat>
            <numRef>
              <f>'Data'!$A$2:$A$3</f>
            </numRef>
          </cat>
          <val>
            <numRef>
              <f>'Data'!$B$2:$B$3</f>
            </numRef>
          </val>
        </ser>
        <firstSliceAng val="0"/>
        <holeSize val="55"/>
      </doughnutChart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plotArea>
      <barChart>
        <barDir val="col"/>
        <grouping val="clustered"/>
        <ser>
          <idx val="0"/>
          <order val="0"/>
          <tx>
            <strRef>
              <f>'Data'!H1</f>
            </strRef>
          </tx>
          <spPr>
            <a:solidFill xmlns:a="http://schemas.openxmlformats.org/drawingml/2006/main">
              <a:srgbClr val="2E5FA3"/>
            </a:solidFill>
            <a:ln xmlns:a="http://schemas.openxmlformats.org/drawingml/2006/main">
              <a:solidFill>
                <a:srgbClr val="2E5FA3"/>
              </a:solidFill>
              <a:prstDash val="solid"/>
            </a:ln>
          </spPr>
          <cat>
            <numRef>
              <f>'Data'!$G$2:$G$10</f>
            </numRef>
          </cat>
          <val>
            <numRef>
              <f>'Data'!$H$2:$H$10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Employees Hired</a:t>
                </a:r>
              </a:p>
            </rich>
          </tx>
        </title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plotArea>
      <barChart>
        <barDir val="bar"/>
        <grouping val="clustered"/>
        <ser>
          <idx val="0"/>
          <order val="0"/>
          <tx>
            <strRef>
              <f>'Data'!K1</f>
            </strRef>
          </tx>
          <spPr>
            <a:solidFill xmlns:a="http://schemas.openxmlformats.org/drawingml/2006/main">
              <a:srgbClr val="17A589"/>
            </a:solidFill>
            <a:ln xmlns:a="http://schemas.openxmlformats.org/drawingml/2006/main">
              <a:solidFill>
                <a:srgbClr val="17A589"/>
              </a:solidFill>
              <a:prstDash val="solid"/>
            </a:ln>
          </spPr>
          <cat>
            <numRef>
              <f>'Data'!$J$2:$J$10</f>
            </numRef>
          </cat>
          <val>
            <numRef>
              <f>'Data'!$K$2:$K$10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numFmt formatCode="₹#,##0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plotArea>
      <barChart>
        <barDir val="col"/>
        <grouping val="clustered"/>
        <ser>
          <idx val="0"/>
          <order val="0"/>
          <tx>
            <strRef>
              <f>'Data'!N1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2E5FA3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F39C12"/>
              </a:solidFill>
              <a:ln xmlns:a="http://schemas.openxmlformats.org/drawingml/2006/main">
                <a:prstDash val="solid"/>
              </a:ln>
            </spPr>
          </dPt>
          <cat>
            <numRef>
              <f>'Data'!$M$2:$M$4</f>
            </numRef>
          </cat>
          <val>
            <numRef>
              <f>'Data'!$N$2:$N$4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0.75"/>
          <min val="0.55"/>
        </scaling>
        <axPos val="l"/>
        <majorGridlines/>
        <numFmt formatCode="0.0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1</col>
      <colOff>0</colOff>
      <row>7</row>
      <rowOff>0</rowOff>
    </from>
    <ext cx="324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7</row>
      <rowOff>0</rowOff>
    </from>
    <ext cx="54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35</row>
      <rowOff>0</rowOff>
    </from>
    <ext cx="324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8</col>
      <colOff>0</colOff>
      <row>35</row>
      <rowOff>0</rowOff>
    </from>
    <ext cx="468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Outcome</t>
        </is>
      </c>
      <c r="B1" t="inlineStr">
        <is>
          <t>Rate</t>
        </is>
      </c>
      <c r="D1" t="inlineStr">
        <is>
          <t>Metric</t>
        </is>
      </c>
      <c r="E1" t="inlineStr">
        <is>
          <t>Value</t>
        </is>
      </c>
      <c r="G1" t="inlineStr">
        <is>
          <t>Department</t>
        </is>
      </c>
      <c r="H1" t="inlineStr">
        <is>
          <t>Hired</t>
        </is>
      </c>
      <c r="J1" t="inlineStr">
        <is>
          <t>Department</t>
        </is>
      </c>
      <c r="K1" t="inlineStr">
        <is>
          <t>Avg Salary (₹)</t>
        </is>
      </c>
      <c r="M1" t="inlineStr">
        <is>
          <t>Gender</t>
        </is>
      </c>
      <c r="N1" t="inlineStr">
        <is>
          <t>Hiring Rate (%)</t>
        </is>
      </c>
    </row>
    <row r="2">
      <c r="A2" t="inlineStr">
        <is>
          <t>Hired</t>
        </is>
      </c>
      <c r="B2" t="n">
        <v>65.52</v>
      </c>
      <c r="D2" t="inlineStr">
        <is>
          <t>Total Applicants</t>
        </is>
      </c>
      <c r="E2" t="n">
        <v>7167</v>
      </c>
      <c r="G2" t="inlineStr">
        <is>
          <t>Operations</t>
        </is>
      </c>
      <c r="H2" t="n">
        <v>1048</v>
      </c>
      <c r="J2" t="inlineStr">
        <is>
          <t>General Management</t>
        </is>
      </c>
      <c r="K2" t="n">
        <v>58722</v>
      </c>
      <c r="M2" t="inlineStr">
        <is>
          <t>Female</t>
        </is>
      </c>
      <c r="N2" t="n">
        <v>69.38</v>
      </c>
    </row>
    <row r="3">
      <c r="A3" t="inlineStr">
        <is>
          <t>Rejected</t>
        </is>
      </c>
      <c r="B3" t="n">
        <v>34.48</v>
      </c>
      <c r="D3" t="inlineStr">
        <is>
          <t>Hired</t>
        </is>
      </c>
      <c r="E3" t="n">
        <v>4696</v>
      </c>
      <c r="G3" t="inlineStr">
        <is>
          <t>Service</t>
        </is>
      </c>
      <c r="H3" t="n">
        <v>752</v>
      </c>
      <c r="J3" t="inlineStr">
        <is>
          <t>Purchase</t>
        </is>
      </c>
      <c r="K3" t="n">
        <v>54310</v>
      </c>
      <c r="M3" t="inlineStr">
        <is>
          <t>Male</t>
        </is>
      </c>
      <c r="N3" t="n">
        <v>62.73</v>
      </c>
    </row>
    <row r="4">
      <c r="D4" t="inlineStr">
        <is>
          <t>Rejected</t>
        </is>
      </c>
      <c r="E4" t="n">
        <v>2471</v>
      </c>
      <c r="G4" t="inlineStr">
        <is>
          <t>Sales</t>
        </is>
      </c>
      <c r="H4" t="n">
        <v>632</v>
      </c>
      <c r="J4" t="inlineStr">
        <is>
          <t>Service</t>
        </is>
      </c>
      <c r="K4" t="n">
        <v>52890</v>
      </c>
      <c r="M4" t="inlineStr">
        <is>
          <t>Prefer Not to Say</t>
        </is>
      </c>
      <c r="N4" t="n">
        <v>68.14</v>
      </c>
    </row>
    <row r="5">
      <c r="D5" t="inlineStr">
        <is>
          <t>Hiring Rate</t>
        </is>
      </c>
      <c r="E5" t="n">
        <v>0.6552</v>
      </c>
      <c r="G5" t="inlineStr">
        <is>
          <t>Production</t>
        </is>
      </c>
      <c r="H5" t="n">
        <v>589</v>
      </c>
      <c r="J5" t="inlineStr">
        <is>
          <t>Finance</t>
        </is>
      </c>
      <c r="K5" t="n">
        <v>51640</v>
      </c>
    </row>
    <row r="6">
      <c r="D6" t="inlineStr">
        <is>
          <t>Avg Salary (₹)</t>
        </is>
      </c>
      <c r="E6" t="n">
        <v>49978</v>
      </c>
      <c r="G6" t="inlineStr">
        <is>
          <t>Purchase</t>
        </is>
      </c>
      <c r="H6" t="n">
        <v>423</v>
      </c>
      <c r="J6" t="inlineStr">
        <is>
          <t>Production</t>
        </is>
      </c>
      <c r="K6" t="n">
        <v>50120</v>
      </c>
    </row>
    <row r="7">
      <c r="G7" t="inlineStr">
        <is>
          <t>Marketing</t>
        </is>
      </c>
      <c r="H7" t="n">
        <v>378</v>
      </c>
      <c r="J7" t="inlineStr">
        <is>
          <t>Sales</t>
        </is>
      </c>
      <c r="K7" t="n">
        <v>48760</v>
      </c>
    </row>
    <row r="8">
      <c r="G8" t="inlineStr">
        <is>
          <t>Finance</t>
        </is>
      </c>
      <c r="H8" t="n">
        <v>301</v>
      </c>
      <c r="J8" t="inlineStr">
        <is>
          <t>Operations</t>
        </is>
      </c>
      <c r="K8" t="n">
        <v>47330</v>
      </c>
    </row>
    <row r="9">
      <c r="G9" t="inlineStr">
        <is>
          <t>General Management</t>
        </is>
      </c>
      <c r="H9" t="n">
        <v>264</v>
      </c>
      <c r="J9" t="inlineStr">
        <is>
          <t>HR</t>
        </is>
      </c>
      <c r="K9" t="n">
        <v>46810</v>
      </c>
    </row>
    <row r="10">
      <c r="G10" t="inlineStr">
        <is>
          <t>HR</t>
        </is>
      </c>
      <c r="H10" t="n">
        <v>309</v>
      </c>
      <c r="J10" t="inlineStr">
        <is>
          <t>Marketing</t>
        </is>
      </c>
      <c r="K10" t="n">
        <v>45620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L60"/>
  <sheetViews>
    <sheetView showGridLines="0" zoomScale="85" workbookViewId="0">
      <selection activeCell="A1" sqref="A1"/>
    </sheetView>
  </sheetViews>
  <sheetFormatPr baseColWidth="8" defaultRowHeight="15"/>
  <cols>
    <col width="1.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2" customWidth="1" min="8" max="8"/>
    <col width="14" customWidth="1" min="9" max="9"/>
    <col width="14" customWidth="1" min="10" max="10"/>
    <col width="14" customWidth="1" min="11" max="11"/>
    <col width="14" customWidth="1" min="12" max="12"/>
    <col width="2" customWidth="1" min="13" max="13"/>
  </cols>
  <sheetData>
    <row r="1" ht="8" customHeight="1"/>
    <row r="2" ht="36" customHeight="1">
      <c r="B2" s="1" t="inlineStr">
        <is>
          <t>HR RECRUITMENT DASHBOARD</t>
        </is>
      </c>
    </row>
    <row r="3" ht="6" customHeight="1"/>
    <row r="4" ht="52" customHeight="1">
      <c r="B4" s="2" t="inlineStr">
        <is>
          <t>Total Applicants</t>
        </is>
      </c>
      <c r="C4" s="2" t="inlineStr">
        <is>
          <t>Hired</t>
        </is>
      </c>
      <c r="D4" s="2" t="inlineStr">
        <is>
          <t>Rejected</t>
        </is>
      </c>
      <c r="E4" s="2" t="inlineStr">
        <is>
          <t>Hiring Rate</t>
        </is>
      </c>
      <c r="F4" s="2" t="inlineStr">
        <is>
          <t>Avg Salary</t>
        </is>
      </c>
      <c r="G4" s="2" t="inlineStr">
        <is>
          <t>Avg Salary</t>
        </is>
      </c>
    </row>
    <row r="5" ht="42" customHeight="1">
      <c r="B5" s="3" t="n">
        <v>7167</v>
      </c>
      <c r="C5" s="4" t="n">
        <v>4696</v>
      </c>
      <c r="D5" s="5" t="n">
        <v>2471</v>
      </c>
      <c r="E5" s="3" t="inlineStr">
        <is>
          <t>65.52%</t>
        </is>
      </c>
      <c r="F5" s="6" t="inlineStr">
        <is>
          <t>₹49,978</t>
        </is>
      </c>
      <c r="G5" s="6" t="inlineStr">
        <is>
          <t>₹49,978</t>
        </is>
      </c>
    </row>
    <row r="6" ht="8" customHeight="1"/>
    <row r="7" ht="22" customHeight="1">
      <c r="B7" s="7" t="inlineStr">
        <is>
          <t>Overall Recruitment Outcome</t>
        </is>
      </c>
      <c r="I7" s="7" t="inlineStr">
        <is>
          <t>Department-wise Hiring Volume</t>
        </is>
      </c>
    </row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22" customHeight="1">
      <c r="B35" s="7" t="inlineStr">
        <is>
          <t>Average Salary by Department</t>
        </is>
      </c>
      <c r="I35" s="7" t="inlineStr">
        <is>
          <t>Gender-wise Hiring Rate</t>
        </is>
      </c>
    </row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20" customHeight="1">
      <c r="I50" s="8" t="inlineStr">
        <is>
          <t>Gender  |  Hiring Rate</t>
        </is>
      </c>
    </row>
    <row r="51" ht="18" customHeight="1">
      <c r="I51" s="9" t="inlineStr">
        <is>
          <t>Female</t>
        </is>
      </c>
      <c r="L51" s="10" t="inlineStr">
        <is>
          <t>69.38%</t>
        </is>
      </c>
    </row>
    <row r="52" ht="18" customHeight="1">
      <c r="I52" s="11" t="inlineStr">
        <is>
          <t>Male</t>
        </is>
      </c>
      <c r="L52" s="12" t="inlineStr">
        <is>
          <t>62.73%</t>
        </is>
      </c>
    </row>
    <row r="53" ht="18" customHeight="1">
      <c r="I53" s="9" t="inlineStr">
        <is>
          <t>Prefer Not to Say</t>
        </is>
      </c>
      <c r="L53" s="10" t="inlineStr">
        <is>
          <t>68.14%</t>
        </is>
      </c>
    </row>
    <row r="54" ht="15" customHeight="1"/>
    <row r="55" ht="22" customHeight="1">
      <c r="B55" s="13" t="inlineStr">
        <is>
          <t>📌  KEY INSIGHTS</t>
        </is>
      </c>
    </row>
    <row r="56" ht="18" customHeight="1">
      <c r="B56" s="14" t="inlineStr">
        <is>
          <t>✦  Overall hiring conversion rate: 65.52%</t>
        </is>
      </c>
    </row>
    <row r="57" ht="18" customHeight="1">
      <c r="B57" s="15" t="inlineStr">
        <is>
          <t>✦  Operations department accounted for the highest recruitment volume.</t>
        </is>
      </c>
    </row>
    <row r="58" ht="18" customHeight="1">
      <c r="B58" s="14" t="inlineStr">
        <is>
          <t>✦  HR department achieved the highest hiring rate (72.16%).</t>
        </is>
      </c>
    </row>
    <row r="59" ht="18" customHeight="1">
      <c r="B59" s="15" t="inlineStr">
        <is>
          <t>✦  General Management offered the highest average salary (₹58,722).</t>
        </is>
      </c>
    </row>
    <row r="60" ht="18" customHeight="1">
      <c r="B60" s="14" t="inlineStr">
        <is>
          <t>✦  Female applicants recorded the highest hiring conversion rate (69.38%).</t>
        </is>
      </c>
    </row>
  </sheetData>
  <mergeCells count="16">
    <mergeCell ref="I50:L50"/>
    <mergeCell ref="D4"/>
    <mergeCell ref="B4"/>
    <mergeCell ref="B58:L58"/>
    <mergeCell ref="C4"/>
    <mergeCell ref="F4"/>
    <mergeCell ref="E4"/>
    <mergeCell ref="I52:K52"/>
    <mergeCell ref="B55:L55"/>
    <mergeCell ref="B59:L59"/>
    <mergeCell ref="B2:L2"/>
    <mergeCell ref="I53:K53"/>
    <mergeCell ref="B60:L60"/>
    <mergeCell ref="I51:K51"/>
    <mergeCell ref="B56:L56"/>
    <mergeCell ref="B57:L57"/>
  </mergeCells>
  <pageMargins left="0.75" right="0.75" top="1" bottom="1" header="0.5" footer="0.5"/>
  <pageSetup orientation="landscape"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2026-06-14T13:02:29Z</dcterms:created>
  <dcterms:modified xmlns:dcterms="http://purl.org/dc/terms/" xmlns:xsi="http://www.w3.org/2001/XMLSchema-instance" xsi:type="dcterms:W3CDTF">2026-06-14T13:02:29Z</dcterms:modified>
</cp:coreProperties>
</file>